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soncao/Library/Mobile Documents/com~apple~CloudDocs/BU-Docs/ME460:461/MiniVTOL-Repo3/PCB/HoneyBee/"/>
    </mc:Choice>
  </mc:AlternateContent>
  <xr:revisionPtr revIDLastSave="0" documentId="13_ncr:9_{E82C0D9A-A8F0-F74D-94F3-F0EF106FA608}" xr6:coauthVersionLast="47" xr6:coauthVersionMax="47" xr10:uidLastSave="{00000000-0000-0000-0000-000000000000}"/>
  <bookViews>
    <workbookView xWindow="1100" yWindow="880" windowWidth="28040" windowHeight="17180" xr2:uid="{797A2026-0F3B-5D4E-8E34-0640CC9C79CE}"/>
  </bookViews>
  <sheets>
    <sheet name="BOM_PCB" sheetId="1" r:id="rId1"/>
  </sheets>
  <calcPr calcId="0"/>
</workbook>
</file>

<file path=xl/calcChain.xml><?xml version="1.0" encoding="utf-8"?>
<calcChain xmlns="http://schemas.openxmlformats.org/spreadsheetml/2006/main">
  <c r="E2" i="1" l="1"/>
  <c r="E10" i="1"/>
  <c r="E23" i="1"/>
  <c r="C23" i="1"/>
  <c r="E3" i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19" i="1"/>
  <c r="E20" i="1"/>
  <c r="E21" i="1"/>
  <c r="E22" i="1"/>
</calcChain>
</file>

<file path=xl/sharedStrings.xml><?xml version="1.0" encoding="utf-8"?>
<sst xmlns="http://schemas.openxmlformats.org/spreadsheetml/2006/main" count="111" uniqueCount="97">
  <si>
    <t>Reference</t>
  </si>
  <si>
    <t>Value</t>
  </si>
  <si>
    <t>Qty</t>
  </si>
  <si>
    <t>Unit Price</t>
  </si>
  <si>
    <t>Footprint</t>
  </si>
  <si>
    <t>Datasheet</t>
  </si>
  <si>
    <t>DigiKey</t>
  </si>
  <si>
    <t>C1,C4,C5,C9,C10,C13,C14,C17,C18</t>
  </si>
  <si>
    <t>0.1 uF</t>
  </si>
  <si>
    <t>Capacitor_SMD:C_0603_1608Metric_Pad1.08x0.95mm_HandSolder</t>
  </si>
  <si>
    <t>https://yageogroup.com/content/datasheet/asset/file/KEM_C1002_X7R_SMD</t>
  </si>
  <si>
    <t>https://www.digikey.com/en/products/detail/kemet/C0603C104K5RACTU/1465594</t>
  </si>
  <si>
    <t>C2,C3,C8</t>
  </si>
  <si>
    <t>1 uF</t>
  </si>
  <si>
    <t>https://www.digikey.com/en/products/detail/kemet/C0603C105K4RACTU/2199788</t>
  </si>
  <si>
    <t>C6</t>
  </si>
  <si>
    <t>10 uF</t>
  </si>
  <si>
    <t>https://yageogroup.com/content/datasheet/asset/file/KEM_C1006_X5R_SMD</t>
  </si>
  <si>
    <t>https://www.digikey.com/en/products/detail/kemet/C0603C106M9PACTU/1950664</t>
  </si>
  <si>
    <t>C7</t>
  </si>
  <si>
    <t>100 uF</t>
  </si>
  <si>
    <t>Capacitor_SMD:C_0805_2012Metric_Pad1.18x1.45mm_HandSolder</t>
  </si>
  <si>
    <t>https://search.murata.co.jp/Ceramy/image/img/A01X/G101/ENG/GRM21BR60G107ME11-01.pdf</t>
  </si>
  <si>
    <t>https://www.digikey.com/en/products/detail/murata-electronics/GRM21BR60G107ME11L/6155750</t>
  </si>
  <si>
    <t>C12</t>
  </si>
  <si>
    <t>22 uF</t>
  </si>
  <si>
    <t>https://search.murata.co.jp/Ceramy/image/img/A01X/G101/ENG/GRM188R61A226ME15-01.pdf</t>
  </si>
  <si>
    <t>https://www.digikey.com/en/products/detail/murata-electronics/GRM188R61A226ME15D/5027561</t>
  </si>
  <si>
    <t>CR1,CR2,CR3</t>
  </si>
  <si>
    <t>SS24FL</t>
  </si>
  <si>
    <t>Diode_SMD:D_SOD-123F</t>
  </si>
  <si>
    <t>https://www.onsemi.com/pdf/datasheet/ss26fl-d.pdf</t>
  </si>
  <si>
    <t>https://www.digikey.com/en/products/detail/onsemi/SS24FL/5305066</t>
  </si>
  <si>
    <t>J1</t>
  </si>
  <si>
    <t>S2B-PH-K-SLFSN</t>
  </si>
  <si>
    <t>Connector_JST:JST_PH_S2B-PH-K_1x02_P2.00mm_Horizontal</t>
  </si>
  <si>
    <t>https://www.jst-mfg.com/product/pdf/eng/ePH.pdf</t>
  </si>
  <si>
    <t>https://www.digikey.com/en/products/detail/jst-sales-america-inc/S2B-PH-K-S/926626</t>
  </si>
  <si>
    <t>J2</t>
  </si>
  <si>
    <t>10104110-0001LF</t>
  </si>
  <si>
    <t>Connector_USB:USB_Micro-B_Amphenol_10104110_Horizontal</t>
  </si>
  <si>
    <t>https://cdn.amphenol-cs.com/media/wysiwyg/files/documentation/datasheet/inputoutput/io_usb_micro.pdf</t>
  </si>
  <si>
    <t>https://www.digikey.com/en/products/detail/amphenol-cs-fci/10104110-0001LF/2350353?s=N4IgTCBcDaIIwAZEBY6ILQK3AMgMRAF0BfIA</t>
  </si>
  <si>
    <t>M1,M2</t>
  </si>
  <si>
    <t>Motor_DC</t>
  </si>
  <si>
    <t>Connector_Wire:SolderWire-0.25sqmm_1x02_P4.2mm_D0.65mm_OD1.7mm</t>
  </si>
  <si>
    <t>https://www.amazon.com/dp/B01480X6IK?psc=1&amp;smid=A1THAZDOWP300U&amp;ref_=chk_typ_imgToDp</t>
  </si>
  <si>
    <t>M3,M4,M5,M6</t>
  </si>
  <si>
    <t>https://www.amazon.com/Electromagnetic-actuator-Magnetic-Ornithopter-Airplanes/dp/B075KKWM8G</t>
  </si>
  <si>
    <t>Q1,Q2</t>
  </si>
  <si>
    <t>IRLML2502TRPbF</t>
  </si>
  <si>
    <t>Package_TO_SOT_SMD:SOT-23W_Handsoldering</t>
  </si>
  <si>
    <t>https://www.infineon.com/assets/row/public/documents/24/49/infineon-irlml2502-datasheet-en.pdf</t>
  </si>
  <si>
    <t>R1,R2,R3,R4</t>
  </si>
  <si>
    <t>10K</t>
  </si>
  <si>
    <t>Resistor_SMD:R_0603_1608Metric_Pad0.98x0.95mm_HandSolder</t>
  </si>
  <si>
    <t>https://yageogroup.com/content/datasheet/asset/file/PYU-RC_GROUP_51_ROHS_L</t>
  </si>
  <si>
    <t>https://www.digikey.com/en/products/detail/yageo/RC0603FR-0710KL/726880</t>
  </si>
  <si>
    <t>R5,R6</t>
  </si>
  <si>
    <t>4.7K</t>
  </si>
  <si>
    <t>https://www.digikey.com/en/products/detail/yageo/RC0603FR-074K7L/727212</t>
  </si>
  <si>
    <t>R7,R8</t>
  </si>
  <si>
    <t>22 Ω</t>
  </si>
  <si>
    <t>https://www.digikey.com/en/products/detail/yageo/RC0603FR-0722RL/727055</t>
  </si>
  <si>
    <t>R9</t>
  </si>
  <si>
    <t>30.1K</t>
  </si>
  <si>
    <t>https://www.digikey.com/en/products/detail/yageo/RC0603FR-0730K1L/727142</t>
  </si>
  <si>
    <t>R10</t>
  </si>
  <si>
    <t>52.3K</t>
  </si>
  <si>
    <t>https://www.digikey.com/en/products/detail/yageo/RC0603FR-0752K3L/727290</t>
  </si>
  <si>
    <t>U1</t>
  </si>
  <si>
    <t>ATSAMD21G18A-A</t>
  </si>
  <si>
    <t>Package_QFP:TQFP-48_7x7mm_P0.5mm</t>
  </si>
  <si>
    <t>https://ww1.microchip.com/downloads/aemDocuments/documents/MCU32/ProductDocuments/DataSheets/SAM-D21-DA1-Family-Data-Sheet-DS40001882.pdf</t>
  </si>
  <si>
    <t>https://www.digikey.com/en/products/detail/microchip-technology/ATSAMD21G18A-AUT/4878867</t>
  </si>
  <si>
    <t>U2</t>
  </si>
  <si>
    <t>TPS73733DCQR</t>
  </si>
  <si>
    <t>Package_TO_SOT_SMD:SOT-223-6_TabPin3</t>
  </si>
  <si>
    <t>https://www.ti.com/general/docs/suppproductinfo.tsp?distId=10&amp;gotoUrl=https%3A%2F%2Fwww.ti.com%2Flit%2Fgpn%2Ftps737</t>
  </si>
  <si>
    <t>https://www.digikey.com/en/products/detail/texas-instruments/TPS73733DCQR/1698963</t>
  </si>
  <si>
    <t>U3</t>
  </si>
  <si>
    <t>B3U-1000P</t>
  </si>
  <si>
    <t>Button_Switch_SMD:SW_SPST_B3U-1000P</t>
  </si>
  <si>
    <t>https://omronfs.omron.com/en_US/ecb/products/pdf/en-b3u.pdf</t>
  </si>
  <si>
    <t>https://www.digikey.com/en/products/detail/omron-electronics-inc-emc-div/B3U-1000P/1534338</t>
  </si>
  <si>
    <t>U6</t>
  </si>
  <si>
    <t>BMI323</t>
  </si>
  <si>
    <t>Package_LGA:Bosch_LGA-14_3x2.5mm_P0.5mm</t>
  </si>
  <si>
    <t>https://www.bosch-sensortec.com/media/boschsensortec/downloads/datasheets/bst-bmi323-ds000.pdf</t>
  </si>
  <si>
    <t>https://www.digikey.com/en/products/detail/bosch-sensortec/BMI323/16719593</t>
  </si>
  <si>
    <t>U8</t>
  </si>
  <si>
    <t>TB6612FNG_C_8_EL</t>
  </si>
  <si>
    <t>Package_SO:SSOP-24_5.3x8.2mm_P0.65mm</t>
  </si>
  <si>
    <t>https://toshiba.semicon-storage.com/info/TB6612FNG_datasheet_en_20141001.pdf?did=10660&amp;prodName=TB6612FNG</t>
  </si>
  <si>
    <t>https://www.digikey.com/en/products/detail/toshiba-semiconductor-and-storage/TB6612FNG-C-8-EL/1730070?s=N4IgTCBcDaICoCEBsSCMYBiA5A4gfQGE8AOPAUQBkQBdAXyA</t>
  </si>
  <si>
    <t>Price</t>
  </si>
  <si>
    <t>Total (Minus motors)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</si>
</sst>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0" fillId="0" borderId="10" xfId="0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0" fillId="0" borderId="15" xfId="0" applyBorder="1" applyAlignment="1">
      <alignment wrapText="1"/>
    </xf>
    <xf numFmtId="0" fontId="18" fillId="0" borderId="16" xfId="0" applyFont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horizontal="center" wrapText="1"/>
    </xf>
    <xf numFmtId="0" fontId="18" fillId="0" borderId="22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6AA7-B697-A34A-992A-BE6184286C77}">
  <sheetPr>
    <pageSetUpPr fitToPage="1"/>
  </sheetPr>
  <dimension ref="A1:H23"/>
  <sheetViews>
    <sheetView tabSelected="1" zoomScale="75" zoomScaleNormal="75" workbookViewId="0">
      <selection activeCell="D31" sqref="D31"/>
    </sheetView>
  </sheetViews>
  <sheetFormatPr baseColWidth="10" defaultRowHeight="16" x14ac:dyDescent="0.2"/>
  <cols>
    <col min="1" max="1" width="13.33203125" style="1" customWidth="1"/>
    <col min="2" max="2" width="19.1640625" style="1" bestFit="1" customWidth="1"/>
    <col min="3" max="3" width="5.83203125" style="1" customWidth="1"/>
    <col min="4" max="5" width="10.83203125" style="1"/>
    <col min="6" max="6" width="31" style="1" customWidth="1"/>
    <col min="7" max="7" width="35.6640625" style="1" customWidth="1"/>
    <col min="8" max="8" width="35.33203125" style="1" customWidth="1"/>
    <col min="9" max="16384" width="10.83203125" style="1"/>
  </cols>
  <sheetData>
    <row r="1" spans="1:8" s="2" customFormat="1" ht="17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95</v>
      </c>
      <c r="F1" s="5" t="s">
        <v>4</v>
      </c>
      <c r="G1" s="5" t="s">
        <v>5</v>
      </c>
      <c r="H1" s="6" t="s">
        <v>6</v>
      </c>
    </row>
    <row r="2" spans="1:8" ht="51" x14ac:dyDescent="0.2">
      <c r="A2" s="7" t="s">
        <v>7</v>
      </c>
      <c r="B2" s="3" t="s">
        <v>8</v>
      </c>
      <c r="C2" s="3">
        <v>9</v>
      </c>
      <c r="D2" s="3">
        <v>0.08</v>
      </c>
      <c r="E2" s="3">
        <f>D2*C2</f>
        <v>0.72</v>
      </c>
      <c r="F2" s="3" t="s">
        <v>9</v>
      </c>
      <c r="G2" s="3" t="s">
        <v>10</v>
      </c>
      <c r="H2" s="8" t="s">
        <v>11</v>
      </c>
    </row>
    <row r="3" spans="1:8" ht="51" x14ac:dyDescent="0.2">
      <c r="A3" s="7" t="s">
        <v>12</v>
      </c>
      <c r="B3" s="3" t="s">
        <v>13</v>
      </c>
      <c r="C3" s="3">
        <v>3</v>
      </c>
      <c r="D3" s="3">
        <v>0.08</v>
      </c>
      <c r="E3" s="3">
        <f t="shared" ref="E3:E22" si="0">D3*C3</f>
        <v>0.24</v>
      </c>
      <c r="F3" s="3" t="s">
        <v>9</v>
      </c>
      <c r="G3" s="3" t="s">
        <v>10</v>
      </c>
      <c r="H3" s="8" t="s">
        <v>14</v>
      </c>
    </row>
    <row r="4" spans="1:8" ht="51" x14ac:dyDescent="0.2">
      <c r="A4" s="7" t="s">
        <v>15</v>
      </c>
      <c r="B4" s="3" t="s">
        <v>16</v>
      </c>
      <c r="C4" s="3">
        <v>1</v>
      </c>
      <c r="D4" s="3">
        <v>0.28000000000000003</v>
      </c>
      <c r="E4" s="3">
        <f t="shared" si="0"/>
        <v>0.28000000000000003</v>
      </c>
      <c r="F4" s="3" t="s">
        <v>9</v>
      </c>
      <c r="G4" s="3" t="s">
        <v>17</v>
      </c>
      <c r="H4" s="8" t="s">
        <v>18</v>
      </c>
    </row>
    <row r="5" spans="1:8" ht="68" x14ac:dyDescent="0.2">
      <c r="A5" s="7" t="s">
        <v>19</v>
      </c>
      <c r="B5" s="3" t="s">
        <v>20</v>
      </c>
      <c r="C5" s="3">
        <v>1</v>
      </c>
      <c r="D5" s="3">
        <v>0.53</v>
      </c>
      <c r="E5" s="3">
        <f t="shared" si="0"/>
        <v>0.53</v>
      </c>
      <c r="F5" s="3" t="s">
        <v>21</v>
      </c>
      <c r="G5" s="3" t="s">
        <v>22</v>
      </c>
      <c r="H5" s="8" t="s">
        <v>23</v>
      </c>
    </row>
    <row r="6" spans="1:8" ht="68" x14ac:dyDescent="0.2">
      <c r="A6" s="7" t="s">
        <v>24</v>
      </c>
      <c r="B6" s="3" t="s">
        <v>25</v>
      </c>
      <c r="C6" s="3">
        <v>1</v>
      </c>
      <c r="D6" s="3">
        <v>0.13</v>
      </c>
      <c r="E6" s="3">
        <f t="shared" si="0"/>
        <v>0.13</v>
      </c>
      <c r="F6" s="3" t="s">
        <v>9</v>
      </c>
      <c r="G6" s="3" t="s">
        <v>26</v>
      </c>
      <c r="H6" s="8" t="s">
        <v>27</v>
      </c>
    </row>
    <row r="7" spans="1:8" ht="34" x14ac:dyDescent="0.2">
      <c r="A7" s="7" t="s">
        <v>28</v>
      </c>
      <c r="B7" s="3" t="s">
        <v>29</v>
      </c>
      <c r="C7" s="3">
        <v>3</v>
      </c>
      <c r="D7" s="3">
        <v>0.27</v>
      </c>
      <c r="E7" s="3">
        <f t="shared" si="0"/>
        <v>0.81</v>
      </c>
      <c r="F7" s="3" t="s">
        <v>30</v>
      </c>
      <c r="G7" s="3" t="s">
        <v>31</v>
      </c>
      <c r="H7" s="8" t="s">
        <v>32</v>
      </c>
    </row>
    <row r="8" spans="1:8" ht="51" x14ac:dyDescent="0.2">
      <c r="A8" s="7" t="s">
        <v>33</v>
      </c>
      <c r="B8" s="3" t="s">
        <v>34</v>
      </c>
      <c r="C8" s="3">
        <v>1</v>
      </c>
      <c r="D8" s="3">
        <v>0.11</v>
      </c>
      <c r="E8" s="3">
        <f t="shared" si="0"/>
        <v>0.11</v>
      </c>
      <c r="F8" s="3" t="s">
        <v>35</v>
      </c>
      <c r="G8" s="3" t="s">
        <v>36</v>
      </c>
      <c r="H8" s="8" t="s">
        <v>37</v>
      </c>
    </row>
    <row r="9" spans="1:8" ht="68" x14ac:dyDescent="0.2">
      <c r="A9" s="7" t="s">
        <v>38</v>
      </c>
      <c r="B9" s="3" t="s">
        <v>39</v>
      </c>
      <c r="C9" s="3">
        <v>1</v>
      </c>
      <c r="D9" s="3">
        <v>0.81</v>
      </c>
      <c r="E9" s="3">
        <f t="shared" si="0"/>
        <v>0.81</v>
      </c>
      <c r="F9" s="3" t="s">
        <v>40</v>
      </c>
      <c r="G9" s="3" t="s">
        <v>41</v>
      </c>
      <c r="H9" s="8" t="s">
        <v>42</v>
      </c>
    </row>
    <row r="10" spans="1:8" ht="51" x14ac:dyDescent="0.2">
      <c r="A10" s="7" t="s">
        <v>43</v>
      </c>
      <c r="B10" s="3" t="s">
        <v>44</v>
      </c>
      <c r="C10" s="3">
        <v>2</v>
      </c>
      <c r="D10" s="3">
        <v>6.88</v>
      </c>
      <c r="E10" s="3">
        <f>D10*C10</f>
        <v>13.76</v>
      </c>
      <c r="F10" s="3" t="s">
        <v>45</v>
      </c>
      <c r="G10" s="3" t="s">
        <v>46</v>
      </c>
      <c r="H10" s="8"/>
    </row>
    <row r="11" spans="1:8" ht="51" x14ac:dyDescent="0.2">
      <c r="A11" s="7" t="s">
        <v>47</v>
      </c>
      <c r="B11" s="3" t="s">
        <v>44</v>
      </c>
      <c r="C11" s="3">
        <v>4</v>
      </c>
      <c r="D11" s="3">
        <v>6</v>
      </c>
      <c r="E11" s="3">
        <f t="shared" si="0"/>
        <v>24</v>
      </c>
      <c r="F11" s="3" t="s">
        <v>45</v>
      </c>
      <c r="G11" s="3" t="s">
        <v>48</v>
      </c>
      <c r="H11" s="8"/>
    </row>
    <row r="12" spans="1:8" ht="51" x14ac:dyDescent="0.2">
      <c r="A12" s="7" t="s">
        <v>49</v>
      </c>
      <c r="B12" s="3" t="s">
        <v>50</v>
      </c>
      <c r="C12" s="3">
        <v>2</v>
      </c>
      <c r="D12" s="3">
        <v>0.14000000000000001</v>
      </c>
      <c r="E12" s="3">
        <f t="shared" si="0"/>
        <v>0.28000000000000003</v>
      </c>
      <c r="F12" s="3" t="s">
        <v>51</v>
      </c>
      <c r="G12" s="3" t="s">
        <v>52</v>
      </c>
      <c r="H12" s="8"/>
    </row>
    <row r="13" spans="1:8" ht="34" x14ac:dyDescent="0.2">
      <c r="A13" s="7" t="s">
        <v>53</v>
      </c>
      <c r="B13" s="3" t="s">
        <v>54</v>
      </c>
      <c r="C13" s="3">
        <v>4</v>
      </c>
      <c r="D13" s="3">
        <v>0.1</v>
      </c>
      <c r="E13" s="3">
        <f t="shared" si="0"/>
        <v>0.4</v>
      </c>
      <c r="F13" s="3" t="s">
        <v>55</v>
      </c>
      <c r="G13" s="3" t="s">
        <v>56</v>
      </c>
      <c r="H13" s="8" t="s">
        <v>57</v>
      </c>
    </row>
    <row r="14" spans="1:8" ht="34" x14ac:dyDescent="0.2">
      <c r="A14" s="7" t="s">
        <v>58</v>
      </c>
      <c r="B14" s="3" t="s">
        <v>59</v>
      </c>
      <c r="C14" s="3">
        <v>2</v>
      </c>
      <c r="D14" s="3">
        <v>0.1</v>
      </c>
      <c r="E14" s="3">
        <f t="shared" si="0"/>
        <v>0.2</v>
      </c>
      <c r="F14" s="3" t="s">
        <v>55</v>
      </c>
      <c r="G14" s="3" t="s">
        <v>56</v>
      </c>
      <c r="H14" s="8" t="s">
        <v>60</v>
      </c>
    </row>
    <row r="15" spans="1:8" ht="34" x14ac:dyDescent="0.2">
      <c r="A15" s="7" t="s">
        <v>61</v>
      </c>
      <c r="B15" s="3" t="s">
        <v>62</v>
      </c>
      <c r="C15" s="3">
        <v>2</v>
      </c>
      <c r="D15" s="3">
        <v>0.1</v>
      </c>
      <c r="E15" s="3">
        <f t="shared" si="0"/>
        <v>0.2</v>
      </c>
      <c r="F15" s="3" t="s">
        <v>55</v>
      </c>
      <c r="G15" s="3" t="s">
        <v>56</v>
      </c>
      <c r="H15" s="8" t="s">
        <v>63</v>
      </c>
    </row>
    <row r="16" spans="1:8" ht="34" x14ac:dyDescent="0.2">
      <c r="A16" s="7" t="s">
        <v>64</v>
      </c>
      <c r="B16" s="3" t="s">
        <v>65</v>
      </c>
      <c r="C16" s="3">
        <v>1</v>
      </c>
      <c r="D16" s="3">
        <v>0.1</v>
      </c>
      <c r="E16" s="3">
        <f t="shared" si="0"/>
        <v>0.1</v>
      </c>
      <c r="F16" s="3" t="s">
        <v>55</v>
      </c>
      <c r="G16" s="3" t="s">
        <v>56</v>
      </c>
      <c r="H16" s="8" t="s">
        <v>66</v>
      </c>
    </row>
    <row r="17" spans="1:8" ht="34" x14ac:dyDescent="0.2">
      <c r="A17" s="7" t="s">
        <v>67</v>
      </c>
      <c r="B17" s="3" t="s">
        <v>68</v>
      </c>
      <c r="C17" s="3">
        <v>1</v>
      </c>
      <c r="D17" s="3">
        <v>0.1</v>
      </c>
      <c r="E17" s="3">
        <f t="shared" si="0"/>
        <v>0.1</v>
      </c>
      <c r="F17" s="3" t="s">
        <v>55</v>
      </c>
      <c r="G17" s="3" t="s">
        <v>56</v>
      </c>
      <c r="H17" s="8" t="s">
        <v>69</v>
      </c>
    </row>
    <row r="18" spans="1:8" ht="68" x14ac:dyDescent="0.2">
      <c r="A18" s="7" t="s">
        <v>70</v>
      </c>
      <c r="B18" s="3" t="s">
        <v>71</v>
      </c>
      <c r="C18" s="3">
        <v>1</v>
      </c>
      <c r="D18" s="3">
        <v>4.25</v>
      </c>
      <c r="E18" s="3">
        <f t="shared" si="0"/>
        <v>4.25</v>
      </c>
      <c r="F18" s="3" t="s">
        <v>72</v>
      </c>
      <c r="G18" s="3" t="s">
        <v>73</v>
      </c>
      <c r="H18" s="8" t="s">
        <v>74</v>
      </c>
    </row>
    <row r="19" spans="1:8" ht="68" x14ac:dyDescent="0.2">
      <c r="A19" s="7" t="s">
        <v>75</v>
      </c>
      <c r="B19" s="3" t="s">
        <v>76</v>
      </c>
      <c r="C19" s="3">
        <v>1</v>
      </c>
      <c r="D19" s="3">
        <v>1.67</v>
      </c>
      <c r="E19" s="3">
        <f t="shared" si="0"/>
        <v>1.67</v>
      </c>
      <c r="F19" s="3" t="s">
        <v>77</v>
      </c>
      <c r="G19" s="3" t="s">
        <v>78</v>
      </c>
      <c r="H19" s="8" t="s">
        <v>79</v>
      </c>
    </row>
    <row r="20" spans="1:8" ht="51" x14ac:dyDescent="0.2">
      <c r="A20" s="7" t="s">
        <v>80</v>
      </c>
      <c r="B20" s="3" t="s">
        <v>81</v>
      </c>
      <c r="C20" s="3">
        <v>1</v>
      </c>
      <c r="D20" s="3">
        <v>0.9</v>
      </c>
      <c r="E20" s="3">
        <f t="shared" si="0"/>
        <v>0.9</v>
      </c>
      <c r="F20" s="3" t="s">
        <v>82</v>
      </c>
      <c r="G20" s="3" t="s">
        <v>83</v>
      </c>
      <c r="H20" s="8" t="s">
        <v>84</v>
      </c>
    </row>
    <row r="21" spans="1:8" ht="68" x14ac:dyDescent="0.2">
      <c r="A21" s="7" t="s">
        <v>85</v>
      </c>
      <c r="B21" s="3" t="s">
        <v>86</v>
      </c>
      <c r="C21" s="3">
        <v>1</v>
      </c>
      <c r="D21" s="3">
        <v>3.27</v>
      </c>
      <c r="E21" s="3">
        <f t="shared" si="0"/>
        <v>3.27</v>
      </c>
      <c r="F21" s="3" t="s">
        <v>87</v>
      </c>
      <c r="G21" s="3" t="s">
        <v>88</v>
      </c>
      <c r="H21" s="8" t="s">
        <v>89</v>
      </c>
    </row>
    <row r="22" spans="1:8" ht="86" thickBot="1" x14ac:dyDescent="0.25">
      <c r="A22" s="9" t="s">
        <v>90</v>
      </c>
      <c r="B22" s="10" t="s">
        <v>91</v>
      </c>
      <c r="C22" s="10">
        <v>1</v>
      </c>
      <c r="D22" s="10">
        <v>1.82</v>
      </c>
      <c r="E22" s="10">
        <f t="shared" si="0"/>
        <v>1.82</v>
      </c>
      <c r="F22" s="10" t="s">
        <v>92</v>
      </c>
      <c r="G22" s="10" t="s">
        <v>93</v>
      </c>
      <c r="H22" s="11" t="s">
        <v>94</v>
      </c>
    </row>
    <row r="23" spans="1:8" ht="35" customHeight="1" thickBot="1" x14ac:dyDescent="0.25">
      <c r="A23" s="15" t="s">
        <v>96</v>
      </c>
      <c r="B23" s="16"/>
      <c r="C23" s="13">
        <f>SUM(C2:C9)+SUM(C12:C22)</f>
        <v>37</v>
      </c>
      <c r="D23" s="12"/>
      <c r="E23" s="14">
        <f>SUM(E2:E9)+SUM(E12:E22)</f>
        <v>16.82</v>
      </c>
    </row>
  </sheetData>
  <mergeCells count="1">
    <mergeCell ref="A23:B23"/>
  </mergeCells>
  <pageMargins left="0.75" right="0.75" top="1" bottom="1" header="0.5" footer="0.5"/>
  <pageSetup scale="4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Cao</dc:creator>
  <cp:lastModifiedBy>Benson Cao</cp:lastModifiedBy>
  <cp:lastPrinted>2026-02-25T17:44:42Z</cp:lastPrinted>
  <dcterms:created xsi:type="dcterms:W3CDTF">2026-02-25T17:36:04Z</dcterms:created>
  <dcterms:modified xsi:type="dcterms:W3CDTF">2026-02-25T17:50:42Z</dcterms:modified>
</cp:coreProperties>
</file>